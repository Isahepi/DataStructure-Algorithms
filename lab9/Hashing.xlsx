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24248f98afc2e/Personal/COLLEGE/HU Fall 2025/Data Structure and Algorithms/"/>
    </mc:Choice>
  </mc:AlternateContent>
  <xr:revisionPtr revIDLastSave="130" documentId="8_{528C36C3-46B8-41D4-8A61-162E87927A64}" xr6:coauthVersionLast="47" xr6:coauthVersionMax="47" xr10:uidLastSave="{B52A2DF6-1C9D-4299-A063-9A10860EC700}"/>
  <bookViews>
    <workbookView xWindow="-108" yWindow="-108" windowWidth="23256" windowHeight="12456" activeTab="1" xr2:uid="{188CACDF-8A0B-4D5A-89A9-2A2E707B7DF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2" l="1" a="1"/>
  <c r="Q4" i="2" l="1"/>
  <c r="P66" i="2"/>
  <c r="P57" i="2"/>
  <c r="P65" i="2"/>
  <c r="P51" i="2"/>
  <c r="P64" i="2"/>
  <c r="P47" i="2"/>
  <c r="P62" i="2"/>
  <c r="P56" i="2"/>
  <c r="P60" i="2"/>
  <c r="P55" i="2"/>
  <c r="P61" i="2"/>
  <c r="P53" i="2"/>
  <c r="P54" i="2"/>
  <c r="P63" i="2"/>
  <c r="P39" i="2"/>
  <c r="P29" i="2"/>
  <c r="Q37" i="2"/>
  <c r="P25" i="2"/>
  <c r="P36" i="2"/>
  <c r="P21" i="2"/>
  <c r="Q35" i="2"/>
  <c r="R28" i="2"/>
  <c r="P34" i="2"/>
  <c r="Q28" i="2"/>
  <c r="P35" i="2"/>
  <c r="P27" i="2"/>
  <c r="P28" i="2"/>
  <c r="P3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4" i="2"/>
  <c r="J61" i="2"/>
  <c r="J60" i="2"/>
  <c r="J66" i="2"/>
  <c r="J63" i="2"/>
  <c r="J58" i="2"/>
  <c r="J52" i="2"/>
  <c r="J51" i="2"/>
  <c r="J57" i="2"/>
  <c r="J50" i="2"/>
  <c r="J53" i="2"/>
  <c r="J56" i="2"/>
  <c r="J59" i="2"/>
  <c r="J67" i="2"/>
  <c r="J68" i="2"/>
  <c r="E66" i="2"/>
  <c r="E64" i="2"/>
  <c r="E61" i="2"/>
  <c r="E54" i="2"/>
  <c r="E58" i="2"/>
  <c r="E67" i="2"/>
  <c r="E57" i="2"/>
  <c r="E49" i="2"/>
  <c r="E60" i="2"/>
  <c r="E59" i="2"/>
  <c r="E63" i="2"/>
  <c r="E68" i="2"/>
  <c r="E56" i="2"/>
  <c r="E69" i="2"/>
  <c r="L30" i="2"/>
  <c r="K30" i="2"/>
  <c r="J39" i="2"/>
  <c r="J36" i="2"/>
  <c r="K29" i="2"/>
  <c r="K24" i="2"/>
  <c r="J24" i="2"/>
  <c r="J30" i="2"/>
  <c r="J23" i="2"/>
  <c r="J26" i="2"/>
  <c r="J29" i="2"/>
  <c r="J32" i="2"/>
  <c r="J40" i="2"/>
  <c r="J41" i="2"/>
  <c r="E32" i="2"/>
  <c r="E39" i="2"/>
  <c r="E37" i="2"/>
  <c r="E33" i="2"/>
  <c r="E27" i="2"/>
  <c r="E31" i="2"/>
  <c r="E40" i="2"/>
  <c r="F29" i="2"/>
  <c r="E22" i="2"/>
  <c r="F32" i="2"/>
  <c r="E36" i="2"/>
  <c r="E41" i="2"/>
  <c r="E29" i="2"/>
  <c r="E42" i="2"/>
  <c r="Q5" i="2" a="1"/>
  <c r="Q9" i="2" a="1"/>
  <c r="Q13" i="2" a="1"/>
  <c r="Q17" i="2" a="1"/>
  <c r="Q11" i="2" a="1"/>
  <c r="Q16" i="2" a="1"/>
  <c r="Q15" i="2" a="1"/>
  <c r="Q6" i="2" a="1"/>
  <c r="Q10" i="2" a="1"/>
  <c r="Q14" i="2" a="1"/>
  <c r="Q7" i="2" a="1"/>
  <c r="Q12" i="2" a="1"/>
  <c r="Q8" i="2" a="1"/>
  <c r="Q8" i="2" l="1"/>
  <c r="R8" i="2" s="1"/>
  <c r="Q12" i="2"/>
  <c r="R12" i="2" s="1"/>
  <c r="Q7" i="2"/>
  <c r="R7" i="2" s="1"/>
  <c r="Q14" i="2"/>
  <c r="R14" i="2" s="1"/>
  <c r="Q10" i="2"/>
  <c r="R10" i="2" s="1"/>
  <c r="Q6" i="2"/>
  <c r="R6" i="2" s="1"/>
  <c r="Q15" i="2"/>
  <c r="R15" i="2" s="1"/>
  <c r="Q16" i="2"/>
  <c r="R16" i="2" s="1"/>
  <c r="Q11" i="2"/>
  <c r="R11" i="2" s="1"/>
  <c r="Q17" i="2"/>
  <c r="R17" i="2" s="1"/>
  <c r="Q13" i="2"/>
  <c r="R13" i="2" s="1"/>
  <c r="Q9" i="2"/>
  <c r="R9" i="2" s="1"/>
  <c r="Q5" i="2"/>
  <c r="R5" i="2" s="1"/>
  <c r="R4" i="2"/>
  <c r="J5" i="2"/>
  <c r="K5" i="2" s="1"/>
  <c r="L5" i="2" s="1"/>
  <c r="J6" i="2"/>
  <c r="K6" i="2" s="1"/>
  <c r="L6" i="2" s="1"/>
  <c r="J7" i="2"/>
  <c r="K7" i="2" s="1"/>
  <c r="L7" i="2" s="1"/>
  <c r="J8" i="2"/>
  <c r="K8" i="2" s="1"/>
  <c r="L8" i="2" s="1"/>
  <c r="J9" i="2"/>
  <c r="K9" i="2" s="1"/>
  <c r="L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L13" i="2" s="1"/>
  <c r="J14" i="2"/>
  <c r="K14" i="2" s="1"/>
  <c r="L14" i="2" s="1"/>
  <c r="J15" i="2"/>
  <c r="K15" i="2" s="1"/>
  <c r="L15" i="2" s="1"/>
  <c r="J16" i="2"/>
  <c r="K16" i="2" s="1"/>
  <c r="L16" i="2" s="1"/>
  <c r="J17" i="2"/>
  <c r="K17" i="2" s="1"/>
  <c r="L17" i="2" s="1"/>
  <c r="J4" i="2"/>
  <c r="K4" i="2" s="1"/>
  <c r="L4" i="2" s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<sst xmlns="http://schemas.openxmlformats.org/spreadsheetml/2006/main" count="104" uniqueCount="66">
  <si>
    <t>Hash function</t>
  </si>
  <si>
    <t xml:space="preserve">Key </t>
  </si>
  <si>
    <t>Mod</t>
  </si>
  <si>
    <t>Name</t>
  </si>
  <si>
    <t>Key</t>
  </si>
  <si>
    <t>HOSEA</t>
  </si>
  <si>
    <t>JOEL</t>
  </si>
  <si>
    <t>AMOS</t>
  </si>
  <si>
    <t>OBADIAH</t>
  </si>
  <si>
    <t>JONAH</t>
  </si>
  <si>
    <t>MICAH</t>
  </si>
  <si>
    <t>NAHUM</t>
  </si>
  <si>
    <t>HABAKKUK</t>
  </si>
  <si>
    <t>ZEPHANIAH</t>
  </si>
  <si>
    <t>HAGGAI</t>
  </si>
  <si>
    <t>ZECHARIAH</t>
  </si>
  <si>
    <t>MALACHI</t>
  </si>
  <si>
    <t>Isabella</t>
  </si>
  <si>
    <t>Herrera</t>
  </si>
  <si>
    <t xml:space="preserve">Mod hash </t>
  </si>
  <si>
    <t>Mid Square hash</t>
  </si>
  <si>
    <t>String Hash</t>
  </si>
  <si>
    <t>Key * Key</t>
  </si>
  <si>
    <t>Middle 4</t>
  </si>
  <si>
    <t>Mod 23</t>
  </si>
  <si>
    <t>1A - Channing with Mod N</t>
  </si>
  <si>
    <t>Data</t>
  </si>
  <si>
    <t>x1 Collision</t>
  </si>
  <si>
    <t>1B - Mid Square hash Channing</t>
  </si>
  <si>
    <t xml:space="preserve">1C - String </t>
  </si>
  <si>
    <t>2A - Linear Probing with Mod N</t>
  </si>
  <si>
    <t>2B Linear Probing with Mid Square</t>
  </si>
  <si>
    <t>ISABELLA</t>
  </si>
  <si>
    <t>HERRERA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</si>
  <si>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</si>
  <si>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</si>
  <si>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</si>
  <si>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</si>
  <si>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</si>
  <si>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</si>
  <si>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</si>
  <si>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</si>
  <si>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</si>
  <si>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</si>
  <si>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</si>
  <si>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</si>
  <si>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</si>
  <si>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</si>
  <si>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</si>
  <si>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</si>
  <si>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</si>
  <si>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</si>
  <si>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</si>
  <si>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</si>
  <si>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</si>
  <si>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</si>
  <si>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</si>
  <si>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</si>
  <si>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</si>
  <si>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</si>
  <si>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Take the 3 middle letters</t>
  </si>
  <si>
    <t>Add letters</t>
  </si>
  <si>
    <t>2C - String hash linear probing</t>
  </si>
  <si>
    <t>x2 Collision</t>
  </si>
  <si>
    <t>x3 Collision</t>
  </si>
  <si>
    <t>x4 Collision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</si>
</sst>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i/>
      <sz val="10"/>
      <color rgb="FF1F232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1" fillId="0" borderId="2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/>
    <xf numFmtId="0" fontId="0" fillId="5" borderId="5" xfId="0" applyFill="1" applyBorder="1"/>
    <xf numFmtId="0" fontId="0" fillId="0" borderId="4" xfId="0" applyFont="1" applyBorder="1" applyAlignment="1">
      <alignment horizontal="center" vertical="center"/>
    </xf>
    <xf numFmtId="0" fontId="1" fillId="0" borderId="4" xfId="0" applyFont="1" applyBorder="1"/>
    <xf numFmtId="0" fontId="0" fillId="5" borderId="2" xfId="0" applyFill="1" applyBorder="1" applyAlignment="1">
      <alignment horizontal="center" vertical="center"/>
    </xf>
    <xf numFmtId="0" fontId="0" fillId="6" borderId="2" xfId="0" applyFill="1" applyBorder="1"/>
    <xf numFmtId="0" fontId="0" fillId="6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ACFD-5968-4254-B24B-C4610FD86F3F}">
  <dimension ref="B3:C16"/>
  <sheetViews>
    <sheetView workbookViewId="0">
      <selection activeCell="C5" sqref="C5"/>
    </sheetView>
  </sheetViews>
  <sheetFormatPr baseColWidth="10" defaultRowHeight="14.4" x14ac:dyDescent="0.3"/>
  <sheetData>
    <row r="3" spans="2:3" x14ac:dyDescent="0.3">
      <c r="B3" s="1" t="s">
        <v>0</v>
      </c>
      <c r="C3" s="1"/>
    </row>
    <row r="4" spans="2:3" x14ac:dyDescent="0.3">
      <c r="B4" s="1" t="s">
        <v>1</v>
      </c>
      <c r="C4" s="1" t="s">
        <v>2</v>
      </c>
    </row>
    <row r="5" spans="2:3" x14ac:dyDescent="0.3">
      <c r="B5">
        <v>456</v>
      </c>
    </row>
    <row r="6" spans="2:3" x14ac:dyDescent="0.3">
      <c r="B6">
        <v>789</v>
      </c>
    </row>
    <row r="7" spans="2:3" x14ac:dyDescent="0.3">
      <c r="B7">
        <v>143</v>
      </c>
    </row>
    <row r="8" spans="2:3" x14ac:dyDescent="0.3">
      <c r="B8">
        <v>724</v>
      </c>
    </row>
    <row r="9" spans="2:3" x14ac:dyDescent="0.3">
      <c r="B9">
        <v>531</v>
      </c>
    </row>
    <row r="10" spans="2:3" x14ac:dyDescent="0.3">
      <c r="B10">
        <v>505</v>
      </c>
    </row>
    <row r="11" spans="2:3" x14ac:dyDescent="0.3">
      <c r="B11">
        <v>111</v>
      </c>
    </row>
    <row r="12" spans="2:3" x14ac:dyDescent="0.3">
      <c r="B12">
        <v>321</v>
      </c>
    </row>
    <row r="13" spans="2:3" x14ac:dyDescent="0.3">
      <c r="B13">
        <v>616</v>
      </c>
    </row>
    <row r="14" spans="2:3" x14ac:dyDescent="0.3">
      <c r="B14">
        <v>325</v>
      </c>
    </row>
    <row r="15" spans="2:3" x14ac:dyDescent="0.3">
      <c r="B15">
        <v>999</v>
      </c>
    </row>
    <row r="16" spans="2:3" x14ac:dyDescent="0.3">
      <c r="B16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4A0B-4C21-4065-A392-E8108BE562A8}">
  <dimension ref="A1:V71"/>
  <sheetViews>
    <sheetView tabSelected="1" zoomScale="55" zoomScaleNormal="55" workbookViewId="0">
      <selection activeCell="B19" sqref="B19"/>
    </sheetView>
  </sheetViews>
  <sheetFormatPr baseColWidth="10" defaultRowHeight="14.4" x14ac:dyDescent="0.3"/>
  <cols>
    <col min="1" max="1" width="3.44140625" customWidth="1"/>
    <col min="2" max="2" width="14.44140625" customWidth="1"/>
    <col min="3" max="4" width="11.5546875" style="7"/>
    <col min="5" max="5" width="8.77734375" bestFit="1" customWidth="1"/>
    <col min="6" max="6" width="11.5546875" style="7"/>
    <col min="7" max="7" width="11.5546875" style="35"/>
    <col min="9" max="9" width="8.77734375" bestFit="1" customWidth="1"/>
    <col min="10" max="10" width="12" bestFit="1" customWidth="1"/>
    <col min="13" max="13" width="11.5546875" style="40"/>
    <col min="15" max="15" width="13.44140625" customWidth="1"/>
    <col min="16" max="16" width="23.33203125" customWidth="1"/>
    <col min="18" max="18" width="11.5546875" style="7"/>
  </cols>
  <sheetData>
    <row r="1" spans="2:22" ht="15" thickBot="1" x14ac:dyDescent="0.35"/>
    <row r="2" spans="2:22" ht="15.6" thickBot="1" x14ac:dyDescent="0.35">
      <c r="B2" s="2" t="s">
        <v>3</v>
      </c>
      <c r="C2" s="2" t="s">
        <v>4</v>
      </c>
      <c r="E2" s="15" t="s">
        <v>19</v>
      </c>
      <c r="F2" s="15"/>
      <c r="G2" s="36"/>
      <c r="I2" s="19" t="s">
        <v>20</v>
      </c>
      <c r="J2" s="20"/>
      <c r="K2" s="20"/>
      <c r="L2" s="20"/>
      <c r="M2" s="36"/>
      <c r="O2" s="17" t="s">
        <v>21</v>
      </c>
      <c r="P2" s="17"/>
    </row>
    <row r="3" spans="2:22" ht="15.6" thickBot="1" x14ac:dyDescent="0.35">
      <c r="B3" s="3" t="s">
        <v>5</v>
      </c>
      <c r="C3" s="25">
        <v>377267</v>
      </c>
      <c r="E3" s="11" t="s">
        <v>4</v>
      </c>
      <c r="F3" s="11" t="s">
        <v>2</v>
      </c>
      <c r="G3" s="37"/>
      <c r="I3" s="11" t="s">
        <v>4</v>
      </c>
      <c r="J3" s="16" t="s">
        <v>22</v>
      </c>
      <c r="K3" s="11" t="s">
        <v>23</v>
      </c>
      <c r="L3" s="21" t="s">
        <v>24</v>
      </c>
      <c r="M3" s="36"/>
      <c r="O3" s="11" t="s">
        <v>4</v>
      </c>
      <c r="P3" s="31" t="s">
        <v>60</v>
      </c>
      <c r="Q3" s="24" t="s">
        <v>61</v>
      </c>
      <c r="R3" s="18" t="s">
        <v>24</v>
      </c>
      <c r="U3" t="s">
        <v>34</v>
      </c>
      <c r="V3">
        <v>1</v>
      </c>
    </row>
    <row r="4" spans="2:22" ht="15.6" thickBot="1" x14ac:dyDescent="0.35">
      <c r="B4" s="4" t="s">
        <v>6</v>
      </c>
      <c r="C4" s="26">
        <v>309634</v>
      </c>
      <c r="E4" s="12">
        <v>377267</v>
      </c>
      <c r="F4" s="13">
        <f>MOD(E4,23)</f>
        <v>21</v>
      </c>
      <c r="G4" s="38"/>
      <c r="I4" s="12">
        <v>377267</v>
      </c>
      <c r="J4" s="16">
        <f>I4*I4</f>
        <v>142330389289</v>
      </c>
      <c r="K4" s="13" t="str">
        <f>MID(J4,1,4)</f>
        <v>1423</v>
      </c>
      <c r="L4" s="13">
        <f>MOD(K4,23)</f>
        <v>20</v>
      </c>
      <c r="M4" s="38"/>
      <c r="O4" s="12" t="s">
        <v>5</v>
      </c>
      <c r="P4" s="30" t="str">
        <f>MID(O4,INT((LEN(O4)-3)/2)+1,3)</f>
        <v>OSE</v>
      </c>
      <c r="Q4" s="13" cm="1">
        <f t="array" aca="1" ref="Q4" ca="1">SUMPRODUCT(LOOKUP(MID(P4,ROW(INDIRECT("1:"&amp;LEN(P4))),1),$U$3:$U$28,$V$3:$V$28))</f>
        <v>39</v>
      </c>
      <c r="R4" s="13">
        <f ca="1">MOD(Q4,23)</f>
        <v>16</v>
      </c>
      <c r="U4" t="s">
        <v>35</v>
      </c>
      <c r="V4">
        <v>2</v>
      </c>
    </row>
    <row r="5" spans="2:22" ht="15.6" thickBot="1" x14ac:dyDescent="0.35">
      <c r="B5" s="3" t="s">
        <v>7</v>
      </c>
      <c r="C5" s="25">
        <v>113985</v>
      </c>
      <c r="E5" s="14">
        <v>309634</v>
      </c>
      <c r="F5" s="13">
        <f t="shared" ref="F5:F17" si="0">MOD(E5,23)</f>
        <v>8</v>
      </c>
      <c r="G5" s="38"/>
      <c r="I5" s="14">
        <v>309634</v>
      </c>
      <c r="J5" s="16">
        <f t="shared" ref="J5:J17" si="1">I5*I5</f>
        <v>95873213956</v>
      </c>
      <c r="K5" s="13" t="str">
        <f t="shared" ref="K5:K17" si="2">MID(J5,1,4)</f>
        <v>9587</v>
      </c>
      <c r="L5" s="13">
        <f t="shared" ref="L5:L17" si="3">MOD(K5,23)</f>
        <v>19</v>
      </c>
      <c r="M5" s="38"/>
      <c r="O5" s="14" t="s">
        <v>6</v>
      </c>
      <c r="P5" s="30" t="str">
        <f t="shared" ref="P5:P17" si="4">MID(O5,INT((LEN(O5)-3)/2)+1,3)</f>
        <v>JOE</v>
      </c>
      <c r="Q5" s="13" cm="1">
        <f t="array" aca="1" ref="Q5" ca="1">SUMPRODUCT(LOOKUP(MID(P5,ROW(INDIRECT("1:"&amp;LEN(P5))),1),$U$3:$U$28,$V$3:$V$28))</f>
        <v>30</v>
      </c>
      <c r="R5" s="13">
        <f t="shared" ref="R5:R17" ca="1" si="5">MOD(Q5,23)</f>
        <v>7</v>
      </c>
      <c r="U5" t="s">
        <v>36</v>
      </c>
      <c r="V5">
        <v>3</v>
      </c>
    </row>
    <row r="6" spans="2:22" ht="15.6" thickBot="1" x14ac:dyDescent="0.35">
      <c r="B6" s="4" t="s">
        <v>8</v>
      </c>
      <c r="C6" s="26">
        <v>326638</v>
      </c>
      <c r="E6" s="12">
        <v>113985</v>
      </c>
      <c r="F6" s="13">
        <f t="shared" si="0"/>
        <v>20</v>
      </c>
      <c r="G6" s="38"/>
      <c r="I6" s="12">
        <v>113985</v>
      </c>
      <c r="J6" s="16">
        <f t="shared" si="1"/>
        <v>12992580225</v>
      </c>
      <c r="K6" s="13" t="str">
        <f t="shared" si="2"/>
        <v>1299</v>
      </c>
      <c r="L6" s="13">
        <f t="shared" si="3"/>
        <v>11</v>
      </c>
      <c r="M6" s="38"/>
      <c r="O6" s="12" t="s">
        <v>7</v>
      </c>
      <c r="P6" s="30" t="str">
        <f t="shared" si="4"/>
        <v>AMO</v>
      </c>
      <c r="Q6" s="13" cm="1">
        <f t="array" aca="1" ref="Q6" ca="1">SUMPRODUCT(LOOKUP(MID(P6,ROW(INDIRECT("1:"&amp;LEN(P6))),1),$U$3:$U$28,$V$3:$V$28))</f>
        <v>29</v>
      </c>
      <c r="R6" s="13">
        <f t="shared" ca="1" si="5"/>
        <v>6</v>
      </c>
      <c r="U6" t="s">
        <v>37</v>
      </c>
      <c r="V6">
        <v>4</v>
      </c>
    </row>
    <row r="7" spans="2:22" ht="15.6" thickBot="1" x14ac:dyDescent="0.35">
      <c r="B7" s="3" t="s">
        <v>9</v>
      </c>
      <c r="C7" s="25">
        <v>437494</v>
      </c>
      <c r="E7" s="14">
        <v>326638</v>
      </c>
      <c r="F7" s="13">
        <f t="shared" si="0"/>
        <v>15</v>
      </c>
      <c r="G7" s="38"/>
      <c r="I7" s="14">
        <v>326638</v>
      </c>
      <c r="J7" s="16">
        <f t="shared" si="1"/>
        <v>106692383044</v>
      </c>
      <c r="K7" s="13" t="str">
        <f t="shared" si="2"/>
        <v>1066</v>
      </c>
      <c r="L7" s="13">
        <f t="shared" si="3"/>
        <v>8</v>
      </c>
      <c r="M7" s="38"/>
      <c r="O7" s="14" t="s">
        <v>8</v>
      </c>
      <c r="P7" s="30" t="str">
        <f t="shared" si="4"/>
        <v>ADI</v>
      </c>
      <c r="Q7" s="13" cm="1">
        <f t="array" aca="1" ref="Q7" ca="1">SUMPRODUCT(LOOKUP(MID(P7,ROW(INDIRECT("1:"&amp;LEN(P7))),1),$U$3:$U$28,$V$3:$V$28))</f>
        <v>14</v>
      </c>
      <c r="R7" s="13">
        <f t="shared" ca="1" si="5"/>
        <v>14</v>
      </c>
      <c r="U7" t="s">
        <v>38</v>
      </c>
      <c r="V7">
        <v>5</v>
      </c>
    </row>
    <row r="8" spans="2:22" ht="15.6" thickBot="1" x14ac:dyDescent="0.35">
      <c r="B8" s="4" t="s">
        <v>10</v>
      </c>
      <c r="C8" s="26">
        <v>346184</v>
      </c>
      <c r="E8" s="12">
        <v>437494</v>
      </c>
      <c r="F8" s="13">
        <f t="shared" si="0"/>
        <v>11</v>
      </c>
      <c r="G8" s="38"/>
      <c r="I8" s="12">
        <v>437494</v>
      </c>
      <c r="J8" s="16">
        <f t="shared" si="1"/>
        <v>191401000036</v>
      </c>
      <c r="K8" s="13" t="str">
        <f t="shared" si="2"/>
        <v>1914</v>
      </c>
      <c r="L8" s="13">
        <f t="shared" si="3"/>
        <v>5</v>
      </c>
      <c r="M8" s="38"/>
      <c r="O8" s="12" t="s">
        <v>9</v>
      </c>
      <c r="P8" s="30" t="str">
        <f t="shared" si="4"/>
        <v>ONA</v>
      </c>
      <c r="Q8" s="13" cm="1">
        <f t="array" aca="1" ref="Q8" ca="1">SUMPRODUCT(LOOKUP(MID(P8,ROW(INDIRECT("1:"&amp;LEN(P8))),1),$U$3:$U$28,$V$3:$V$28))</f>
        <v>30</v>
      </c>
      <c r="R8" s="13">
        <f t="shared" ca="1" si="5"/>
        <v>7</v>
      </c>
      <c r="U8" t="s">
        <v>39</v>
      </c>
      <c r="V8">
        <v>6</v>
      </c>
    </row>
    <row r="9" spans="2:22" ht="15.6" thickBot="1" x14ac:dyDescent="0.35">
      <c r="B9" s="3" t="s">
        <v>11</v>
      </c>
      <c r="C9" s="25">
        <v>378834</v>
      </c>
      <c r="E9" s="14">
        <v>346184</v>
      </c>
      <c r="F9" s="13">
        <f t="shared" si="0"/>
        <v>11</v>
      </c>
      <c r="G9" s="38"/>
      <c r="I9" s="14">
        <v>346184</v>
      </c>
      <c r="J9" s="16">
        <f t="shared" si="1"/>
        <v>119843361856</v>
      </c>
      <c r="K9" s="13" t="str">
        <f t="shared" si="2"/>
        <v>1198</v>
      </c>
      <c r="L9" s="13">
        <f t="shared" si="3"/>
        <v>2</v>
      </c>
      <c r="M9" s="38"/>
      <c r="O9" s="14" t="s">
        <v>10</v>
      </c>
      <c r="P9" s="30" t="str">
        <f t="shared" si="4"/>
        <v>ICA</v>
      </c>
      <c r="Q9" s="13" cm="1">
        <f t="array" aca="1" ref="Q9" ca="1">SUMPRODUCT(LOOKUP(MID(P9,ROW(INDIRECT("1:"&amp;LEN(P9))),1),$U$3:$U$28,$V$3:$V$28))</f>
        <v>13</v>
      </c>
      <c r="R9" s="13">
        <f t="shared" ca="1" si="5"/>
        <v>13</v>
      </c>
      <c r="U9" t="s">
        <v>40</v>
      </c>
      <c r="V9">
        <v>7</v>
      </c>
    </row>
    <row r="10" spans="2:22" ht="15.6" thickBot="1" x14ac:dyDescent="0.35">
      <c r="B10" s="4" t="s">
        <v>12</v>
      </c>
      <c r="C10" s="26">
        <v>457892</v>
      </c>
      <c r="E10" s="12">
        <v>378834</v>
      </c>
      <c r="F10" s="13">
        <f t="shared" si="0"/>
        <v>1</v>
      </c>
      <c r="G10" s="38"/>
      <c r="I10" s="12">
        <v>378834</v>
      </c>
      <c r="J10" s="16">
        <f t="shared" si="1"/>
        <v>143515199556</v>
      </c>
      <c r="K10" s="13" t="str">
        <f t="shared" si="2"/>
        <v>1435</v>
      </c>
      <c r="L10" s="13">
        <f t="shared" si="3"/>
        <v>9</v>
      </c>
      <c r="M10" s="38"/>
      <c r="O10" s="12" t="s">
        <v>11</v>
      </c>
      <c r="P10" s="30" t="str">
        <f t="shared" si="4"/>
        <v>AHU</v>
      </c>
      <c r="Q10" s="13" cm="1">
        <f t="array" aca="1" ref="Q10" ca="1">SUMPRODUCT(LOOKUP(MID(P10,ROW(INDIRECT("1:"&amp;LEN(P10))),1),$U$3:$U$28,$V$3:$V$28))</f>
        <v>30</v>
      </c>
      <c r="R10" s="13">
        <f t="shared" ca="1" si="5"/>
        <v>7</v>
      </c>
      <c r="U10" t="s">
        <v>41</v>
      </c>
      <c r="V10">
        <v>8</v>
      </c>
    </row>
    <row r="11" spans="2:22" ht="15.6" thickBot="1" x14ac:dyDescent="0.35">
      <c r="B11" s="3" t="s">
        <v>13</v>
      </c>
      <c r="C11" s="25">
        <v>381083</v>
      </c>
      <c r="E11" s="14">
        <v>457892</v>
      </c>
      <c r="F11" s="13">
        <f t="shared" si="0"/>
        <v>8</v>
      </c>
      <c r="G11" s="38"/>
      <c r="I11" s="14">
        <v>457892</v>
      </c>
      <c r="J11" s="16">
        <f t="shared" si="1"/>
        <v>209665083664</v>
      </c>
      <c r="K11" s="13" t="str">
        <f t="shared" si="2"/>
        <v>2096</v>
      </c>
      <c r="L11" s="13">
        <f t="shared" si="3"/>
        <v>3</v>
      </c>
      <c r="M11" s="38"/>
      <c r="O11" s="14" t="s">
        <v>12</v>
      </c>
      <c r="P11" s="30" t="str">
        <f t="shared" si="4"/>
        <v>BAK</v>
      </c>
      <c r="Q11" s="13" cm="1">
        <f t="array" aca="1" ref="Q11" ca="1">SUMPRODUCT(LOOKUP(MID(P11,ROW(INDIRECT("1:"&amp;LEN(P11))),1),$U$3:$U$28,$V$3:$V$28))</f>
        <v>14</v>
      </c>
      <c r="R11" s="13">
        <f t="shared" ca="1" si="5"/>
        <v>14</v>
      </c>
      <c r="U11" t="s">
        <v>42</v>
      </c>
      <c r="V11">
        <v>9</v>
      </c>
    </row>
    <row r="12" spans="2:22" ht="15.6" thickBot="1" x14ac:dyDescent="0.35">
      <c r="B12" s="4" t="s">
        <v>14</v>
      </c>
      <c r="C12" s="26">
        <v>303840</v>
      </c>
      <c r="E12" s="12">
        <v>381083</v>
      </c>
      <c r="F12" s="13">
        <f t="shared" si="0"/>
        <v>19</v>
      </c>
      <c r="G12" s="38"/>
      <c r="I12" s="12">
        <v>381083</v>
      </c>
      <c r="J12" s="16">
        <f t="shared" si="1"/>
        <v>145224252889</v>
      </c>
      <c r="K12" s="13" t="str">
        <f t="shared" si="2"/>
        <v>1452</v>
      </c>
      <c r="L12" s="13">
        <f t="shared" si="3"/>
        <v>3</v>
      </c>
      <c r="M12" s="38"/>
      <c r="O12" s="12" t="s">
        <v>13</v>
      </c>
      <c r="P12" s="30" t="str">
        <f t="shared" si="4"/>
        <v>HAN</v>
      </c>
      <c r="Q12" s="13" cm="1">
        <f t="array" aca="1" ref="Q12" ca="1">SUMPRODUCT(LOOKUP(MID(P12,ROW(INDIRECT("1:"&amp;LEN(P12))),1),$U$3:$U$28,$V$3:$V$28))</f>
        <v>23</v>
      </c>
      <c r="R12" s="13">
        <f t="shared" ca="1" si="5"/>
        <v>0</v>
      </c>
      <c r="U12" t="s">
        <v>43</v>
      </c>
      <c r="V12">
        <v>10</v>
      </c>
    </row>
    <row r="13" spans="2:22" ht="15.6" thickBot="1" x14ac:dyDescent="0.35">
      <c r="B13" s="3" t="s">
        <v>15</v>
      </c>
      <c r="C13" s="25">
        <v>388591</v>
      </c>
      <c r="E13" s="14">
        <v>303840</v>
      </c>
      <c r="F13" s="13">
        <f t="shared" si="0"/>
        <v>10</v>
      </c>
      <c r="G13" s="38"/>
      <c r="I13" s="14">
        <v>303840</v>
      </c>
      <c r="J13" s="16">
        <f t="shared" si="1"/>
        <v>92318745600</v>
      </c>
      <c r="K13" s="13" t="str">
        <f t="shared" si="2"/>
        <v>9231</v>
      </c>
      <c r="L13" s="13">
        <f t="shared" si="3"/>
        <v>8</v>
      </c>
      <c r="M13" s="38"/>
      <c r="O13" s="14" t="s">
        <v>14</v>
      </c>
      <c r="P13" s="30" t="str">
        <f t="shared" si="4"/>
        <v>AGG</v>
      </c>
      <c r="Q13" s="13" cm="1">
        <f t="array" aca="1" ref="Q13" ca="1">SUMPRODUCT(LOOKUP(MID(P13,ROW(INDIRECT("1:"&amp;LEN(P13))),1),$U$3:$U$28,$V$3:$V$28))</f>
        <v>15</v>
      </c>
      <c r="R13" s="13">
        <f t="shared" ca="1" si="5"/>
        <v>15</v>
      </c>
      <c r="U13" t="s">
        <v>44</v>
      </c>
      <c r="V13">
        <v>11</v>
      </c>
    </row>
    <row r="14" spans="2:22" ht="15.6" thickBot="1" x14ac:dyDescent="0.35">
      <c r="B14" s="4" t="s">
        <v>16</v>
      </c>
      <c r="C14" s="26">
        <v>244456</v>
      </c>
      <c r="E14" s="12">
        <v>388591</v>
      </c>
      <c r="F14" s="13">
        <f t="shared" si="0"/>
        <v>6</v>
      </c>
      <c r="G14" s="38"/>
      <c r="I14" s="12">
        <v>388591</v>
      </c>
      <c r="J14" s="16">
        <f t="shared" si="1"/>
        <v>151002965281</v>
      </c>
      <c r="K14" s="13" t="str">
        <f t="shared" si="2"/>
        <v>1510</v>
      </c>
      <c r="L14" s="13">
        <f t="shared" si="3"/>
        <v>15</v>
      </c>
      <c r="M14" s="38"/>
      <c r="O14" s="12" t="s">
        <v>15</v>
      </c>
      <c r="P14" s="30" t="str">
        <f t="shared" si="4"/>
        <v>HAR</v>
      </c>
      <c r="Q14" s="13" cm="1">
        <f t="array" aca="1" ref="Q14" ca="1">SUMPRODUCT(LOOKUP(MID(P14,ROW(INDIRECT("1:"&amp;LEN(P14))),1),$U$3:$U$28,$V$3:$V$28))</f>
        <v>27</v>
      </c>
      <c r="R14" s="13">
        <f t="shared" ca="1" si="5"/>
        <v>4</v>
      </c>
      <c r="U14" t="s">
        <v>45</v>
      </c>
      <c r="V14">
        <v>12</v>
      </c>
    </row>
    <row r="15" spans="2:22" ht="15.6" thickBot="1" x14ac:dyDescent="0.35">
      <c r="B15" s="5" t="s">
        <v>17</v>
      </c>
      <c r="C15" s="25">
        <v>340462</v>
      </c>
      <c r="E15" s="14">
        <v>244456</v>
      </c>
      <c r="F15" s="13">
        <f t="shared" si="0"/>
        <v>12</v>
      </c>
      <c r="G15" s="38"/>
      <c r="I15" s="14">
        <v>244456</v>
      </c>
      <c r="J15" s="16">
        <f t="shared" si="1"/>
        <v>59758735936</v>
      </c>
      <c r="K15" s="13" t="str">
        <f t="shared" si="2"/>
        <v>5975</v>
      </c>
      <c r="L15" s="13">
        <f t="shared" si="3"/>
        <v>18</v>
      </c>
      <c r="M15" s="38"/>
      <c r="O15" s="14" t="s">
        <v>16</v>
      </c>
      <c r="P15" s="30" t="str">
        <f t="shared" si="4"/>
        <v>LAC</v>
      </c>
      <c r="Q15" s="13" cm="1">
        <f t="array" aca="1" ref="Q15" ca="1">SUMPRODUCT(LOOKUP(MID(P15,ROW(INDIRECT("1:"&amp;LEN(P15))),1),$U$3:$U$28,$V$3:$V$28))</f>
        <v>16</v>
      </c>
      <c r="R15" s="13">
        <f t="shared" ca="1" si="5"/>
        <v>16</v>
      </c>
      <c r="U15" t="s">
        <v>46</v>
      </c>
      <c r="V15">
        <v>13</v>
      </c>
    </row>
    <row r="16" spans="2:22" ht="15.6" thickBot="1" x14ac:dyDescent="0.35">
      <c r="B16" s="6" t="s">
        <v>18</v>
      </c>
      <c r="C16" s="26">
        <v>264173</v>
      </c>
      <c r="E16" s="12">
        <v>340462</v>
      </c>
      <c r="F16" s="13">
        <f t="shared" si="0"/>
        <v>16</v>
      </c>
      <c r="G16" s="38"/>
      <c r="I16" s="12">
        <v>340462</v>
      </c>
      <c r="J16" s="16">
        <f t="shared" si="1"/>
        <v>115914373444</v>
      </c>
      <c r="K16" s="13" t="str">
        <f t="shared" si="2"/>
        <v>1159</v>
      </c>
      <c r="L16" s="13">
        <f t="shared" si="3"/>
        <v>9</v>
      </c>
      <c r="M16" s="38"/>
      <c r="O16" s="22" t="s">
        <v>32</v>
      </c>
      <c r="P16" s="30" t="str">
        <f t="shared" si="4"/>
        <v>ABE</v>
      </c>
      <c r="Q16" s="13" cm="1">
        <f t="array" aca="1" ref="Q16" ca="1">SUMPRODUCT(LOOKUP(MID(P16,ROW(INDIRECT("1:"&amp;LEN(P16))),1),$U$3:$U$28,$V$3:$V$28))</f>
        <v>8</v>
      </c>
      <c r="R16" s="13">
        <f t="shared" ca="1" si="5"/>
        <v>8</v>
      </c>
      <c r="U16" t="s">
        <v>47</v>
      </c>
      <c r="V16">
        <v>14</v>
      </c>
    </row>
    <row r="17" spans="4:22" ht="15" x14ac:dyDescent="0.3">
      <c r="E17" s="14">
        <v>264173</v>
      </c>
      <c r="F17" s="13">
        <f t="shared" si="0"/>
        <v>18</v>
      </c>
      <c r="G17" s="38"/>
      <c r="I17" s="14">
        <v>264173</v>
      </c>
      <c r="J17" s="16">
        <f t="shared" si="1"/>
        <v>69787373929</v>
      </c>
      <c r="K17" s="13" t="str">
        <f t="shared" si="2"/>
        <v>6978</v>
      </c>
      <c r="L17" s="13">
        <f t="shared" si="3"/>
        <v>9</v>
      </c>
      <c r="M17" s="38"/>
      <c r="O17" s="23" t="s">
        <v>33</v>
      </c>
      <c r="P17" s="30" t="str">
        <f t="shared" si="4"/>
        <v>RRE</v>
      </c>
      <c r="Q17" s="13" cm="1">
        <f t="array" aca="1" ref="Q17" ca="1">SUMPRODUCT(LOOKUP(MID(P17,ROW(INDIRECT("1:"&amp;LEN(P17))),1),$U$3:$U$28,$V$3:$V$28))</f>
        <v>41</v>
      </c>
      <c r="R17" s="13">
        <f t="shared" ca="1" si="5"/>
        <v>18</v>
      </c>
      <c r="U17" t="s">
        <v>48</v>
      </c>
      <c r="V17">
        <v>15</v>
      </c>
    </row>
    <row r="18" spans="4:22" x14ac:dyDescent="0.3">
      <c r="U18" t="s">
        <v>49</v>
      </c>
      <c r="V18">
        <v>16</v>
      </c>
    </row>
    <row r="19" spans="4:22" x14ac:dyDescent="0.3">
      <c r="D19" s="8" t="s">
        <v>25</v>
      </c>
      <c r="E19" s="8"/>
      <c r="F19" s="8"/>
      <c r="G19" s="39"/>
      <c r="I19" s="8" t="s">
        <v>28</v>
      </c>
      <c r="J19" s="8"/>
      <c r="K19" s="8"/>
      <c r="O19" s="10" t="s">
        <v>29</v>
      </c>
      <c r="P19" s="10"/>
      <c r="Q19" s="10"/>
      <c r="U19" t="s">
        <v>50</v>
      </c>
      <c r="V19">
        <v>17</v>
      </c>
    </row>
    <row r="20" spans="4:22" x14ac:dyDescent="0.3">
      <c r="D20"/>
      <c r="E20" s="18" t="s">
        <v>26</v>
      </c>
      <c r="J20" s="1" t="s">
        <v>26</v>
      </c>
      <c r="P20" s="1" t="s">
        <v>26</v>
      </c>
      <c r="U20" t="s">
        <v>51</v>
      </c>
      <c r="V20">
        <v>18</v>
      </c>
    </row>
    <row r="21" spans="4:22" x14ac:dyDescent="0.3">
      <c r="D21" s="7">
        <v>0</v>
      </c>
      <c r="E21" s="13"/>
      <c r="I21" s="7">
        <v>0</v>
      </c>
      <c r="J21" s="16"/>
      <c r="O21" s="7">
        <v>0</v>
      </c>
      <c r="P21" s="33" t="str">
        <f>O12</f>
        <v>ZEPHANIAH</v>
      </c>
      <c r="U21" t="s">
        <v>52</v>
      </c>
      <c r="V21">
        <v>19</v>
      </c>
    </row>
    <row r="22" spans="4:22" x14ac:dyDescent="0.3">
      <c r="D22" s="7">
        <v>1</v>
      </c>
      <c r="E22" s="27">
        <f>E10</f>
        <v>378834</v>
      </c>
      <c r="I22" s="7">
        <v>1</v>
      </c>
      <c r="J22" s="16"/>
      <c r="O22" s="7">
        <v>1</v>
      </c>
      <c r="P22" s="16"/>
      <c r="U22" t="s">
        <v>53</v>
      </c>
      <c r="V22">
        <v>20</v>
      </c>
    </row>
    <row r="23" spans="4:22" x14ac:dyDescent="0.3">
      <c r="D23" s="7">
        <v>2</v>
      </c>
      <c r="E23" s="13"/>
      <c r="I23" s="7">
        <v>2</v>
      </c>
      <c r="J23" s="28">
        <f>I9</f>
        <v>346184</v>
      </c>
      <c r="O23" s="7">
        <v>2</v>
      </c>
      <c r="P23" s="16"/>
      <c r="U23" t="s">
        <v>54</v>
      </c>
      <c r="V23">
        <v>21</v>
      </c>
    </row>
    <row r="24" spans="4:22" x14ac:dyDescent="0.3">
      <c r="D24" s="7">
        <v>3</v>
      </c>
      <c r="E24" s="13"/>
      <c r="I24" s="7">
        <v>3</v>
      </c>
      <c r="J24" s="28">
        <f>I11</f>
        <v>457892</v>
      </c>
      <c r="K24" s="28">
        <f>I12</f>
        <v>381083</v>
      </c>
      <c r="L24" s="38" t="s">
        <v>27</v>
      </c>
      <c r="M24" s="38"/>
      <c r="O24" s="7">
        <v>3</v>
      </c>
      <c r="P24" s="16"/>
      <c r="U24" t="s">
        <v>55</v>
      </c>
      <c r="V24">
        <v>22</v>
      </c>
    </row>
    <row r="25" spans="4:22" x14ac:dyDescent="0.3">
      <c r="D25" s="7">
        <v>4</v>
      </c>
      <c r="E25" s="13"/>
      <c r="I25" s="7">
        <v>4</v>
      </c>
      <c r="J25" s="16"/>
      <c r="O25" s="7">
        <v>4</v>
      </c>
      <c r="P25" s="33" t="str">
        <f>O14</f>
        <v>ZECHARIAH</v>
      </c>
      <c r="U25" t="s">
        <v>56</v>
      </c>
      <c r="V25">
        <v>23</v>
      </c>
    </row>
    <row r="26" spans="4:22" x14ac:dyDescent="0.3">
      <c r="D26" s="7">
        <v>5</v>
      </c>
      <c r="E26" s="13"/>
      <c r="I26" s="7">
        <v>5</v>
      </c>
      <c r="J26" s="28">
        <f>I8</f>
        <v>437494</v>
      </c>
      <c r="O26" s="7">
        <v>5</v>
      </c>
      <c r="P26" s="16"/>
      <c r="U26" t="s">
        <v>57</v>
      </c>
      <c r="V26">
        <v>24</v>
      </c>
    </row>
    <row r="27" spans="4:22" x14ac:dyDescent="0.3">
      <c r="D27" s="7">
        <v>6</v>
      </c>
      <c r="E27" s="27">
        <f>E14</f>
        <v>388591</v>
      </c>
      <c r="I27" s="7">
        <v>6</v>
      </c>
      <c r="J27" s="16"/>
      <c r="O27" s="7">
        <v>6</v>
      </c>
      <c r="P27" s="33" t="str">
        <f>O6</f>
        <v>AMOS</v>
      </c>
      <c r="U27" t="s">
        <v>58</v>
      </c>
      <c r="V27">
        <v>25</v>
      </c>
    </row>
    <row r="28" spans="4:22" x14ac:dyDescent="0.3">
      <c r="D28" s="7">
        <v>7</v>
      </c>
      <c r="E28" s="13"/>
      <c r="I28" s="7">
        <v>7</v>
      </c>
      <c r="J28" s="16"/>
      <c r="O28" s="7">
        <v>7</v>
      </c>
      <c r="P28" s="33" t="str">
        <f>O5</f>
        <v>JOEL</v>
      </c>
      <c r="Q28" s="33" t="str">
        <f>O8</f>
        <v>JONAH</v>
      </c>
      <c r="R28" s="34" t="str">
        <f>O10</f>
        <v>NAHUM</v>
      </c>
      <c r="S28" s="38" t="s">
        <v>63</v>
      </c>
      <c r="U28" t="s">
        <v>59</v>
      </c>
      <c r="V28">
        <v>26</v>
      </c>
    </row>
    <row r="29" spans="4:22" x14ac:dyDescent="0.3">
      <c r="D29" s="7">
        <v>8</v>
      </c>
      <c r="E29" s="27">
        <f>E5</f>
        <v>309634</v>
      </c>
      <c r="F29" s="27">
        <f>E11</f>
        <v>457892</v>
      </c>
      <c r="G29" s="38" t="s">
        <v>27</v>
      </c>
      <c r="I29" s="7">
        <v>8</v>
      </c>
      <c r="J29" s="29">
        <f>I7</f>
        <v>326638</v>
      </c>
      <c r="K29" s="28">
        <f>I13</f>
        <v>303840</v>
      </c>
      <c r="L29" s="38" t="s">
        <v>27</v>
      </c>
      <c r="M29" s="38"/>
      <c r="O29" s="7">
        <v>8</v>
      </c>
      <c r="P29" s="33" t="str">
        <f>O16</f>
        <v>ISABELLA</v>
      </c>
    </row>
    <row r="30" spans="4:22" x14ac:dyDescent="0.3">
      <c r="D30" s="7">
        <v>9</v>
      </c>
      <c r="E30" s="13"/>
      <c r="I30" s="7">
        <v>9</v>
      </c>
      <c r="J30" s="29">
        <f>I10</f>
        <v>378834</v>
      </c>
      <c r="K30" s="28">
        <f>I16</f>
        <v>340462</v>
      </c>
      <c r="L30" s="28">
        <f>I17</f>
        <v>264173</v>
      </c>
      <c r="M30" s="38" t="s">
        <v>63</v>
      </c>
      <c r="O30" s="7">
        <v>9</v>
      </c>
      <c r="P30" s="16"/>
    </row>
    <row r="31" spans="4:22" x14ac:dyDescent="0.3">
      <c r="D31" s="7">
        <v>10</v>
      </c>
      <c r="E31" s="27">
        <f>E13</f>
        <v>303840</v>
      </c>
      <c r="I31" s="7">
        <v>10</v>
      </c>
      <c r="J31" s="16"/>
      <c r="O31" s="7">
        <v>10</v>
      </c>
      <c r="P31" s="16"/>
    </row>
    <row r="32" spans="4:22" x14ac:dyDescent="0.3">
      <c r="D32" s="7">
        <v>11</v>
      </c>
      <c r="E32" s="27">
        <f>E8</f>
        <v>437494</v>
      </c>
      <c r="F32" s="27">
        <f>E9</f>
        <v>346184</v>
      </c>
      <c r="G32" s="38" t="s">
        <v>27</v>
      </c>
      <c r="I32" s="7">
        <v>11</v>
      </c>
      <c r="J32" s="28">
        <f>I6</f>
        <v>113985</v>
      </c>
      <c r="O32" s="7">
        <v>11</v>
      </c>
      <c r="P32" s="16"/>
    </row>
    <row r="33" spans="4:18" x14ac:dyDescent="0.3">
      <c r="D33" s="7">
        <v>12</v>
      </c>
      <c r="E33" s="27">
        <f>E15</f>
        <v>244456</v>
      </c>
      <c r="I33" s="7">
        <v>12</v>
      </c>
      <c r="J33" s="16"/>
      <c r="O33" s="7">
        <v>12</v>
      </c>
      <c r="P33" s="16"/>
    </row>
    <row r="34" spans="4:18" x14ac:dyDescent="0.3">
      <c r="D34" s="7">
        <v>13</v>
      </c>
      <c r="E34" s="13"/>
      <c r="I34" s="7">
        <v>13</v>
      </c>
      <c r="J34" s="16"/>
      <c r="O34" s="7">
        <v>13</v>
      </c>
      <c r="P34" s="33" t="str">
        <f>O9</f>
        <v>MICAH</v>
      </c>
    </row>
    <row r="35" spans="4:18" x14ac:dyDescent="0.3">
      <c r="D35" s="7">
        <v>14</v>
      </c>
      <c r="E35" s="13"/>
      <c r="I35" s="7">
        <v>14</v>
      </c>
      <c r="J35" s="16"/>
      <c r="O35" s="7">
        <v>14</v>
      </c>
      <c r="P35" s="33" t="str">
        <f>O7</f>
        <v>OBADIAH</v>
      </c>
      <c r="Q35" s="33" t="str">
        <f>O11</f>
        <v>HABAKKUK</v>
      </c>
      <c r="R35" s="38" t="s">
        <v>27</v>
      </c>
    </row>
    <row r="36" spans="4:18" x14ac:dyDescent="0.3">
      <c r="D36" s="7">
        <v>15</v>
      </c>
      <c r="E36" s="27">
        <f>E7</f>
        <v>326638</v>
      </c>
      <c r="I36" s="7">
        <v>15</v>
      </c>
      <c r="J36" s="28">
        <f>I14</f>
        <v>388591</v>
      </c>
      <c r="O36" s="7">
        <v>15</v>
      </c>
      <c r="P36" s="33" t="str">
        <f>O13</f>
        <v>HAGGAI</v>
      </c>
    </row>
    <row r="37" spans="4:18" x14ac:dyDescent="0.3">
      <c r="D37" s="7">
        <v>16</v>
      </c>
      <c r="E37" s="27">
        <f>E16</f>
        <v>340462</v>
      </c>
      <c r="I37" s="7">
        <v>16</v>
      </c>
      <c r="J37" s="16"/>
      <c r="O37" s="7">
        <v>16</v>
      </c>
      <c r="P37" s="33" t="str">
        <f>O4</f>
        <v>HOSEA</v>
      </c>
      <c r="Q37" s="33" t="str">
        <f>O15</f>
        <v>MALACHI</v>
      </c>
      <c r="R37" s="38" t="s">
        <v>27</v>
      </c>
    </row>
    <row r="38" spans="4:18" x14ac:dyDescent="0.3">
      <c r="D38" s="7">
        <v>17</v>
      </c>
      <c r="E38" s="13"/>
      <c r="I38" s="7">
        <v>17</v>
      </c>
      <c r="J38" s="16"/>
      <c r="O38" s="7">
        <v>17</v>
      </c>
      <c r="P38" s="16"/>
    </row>
    <row r="39" spans="4:18" x14ac:dyDescent="0.3">
      <c r="D39" s="7">
        <v>18</v>
      </c>
      <c r="E39" s="27">
        <f>E17</f>
        <v>264173</v>
      </c>
      <c r="I39" s="7">
        <v>18</v>
      </c>
      <c r="J39" s="28">
        <f>I15</f>
        <v>244456</v>
      </c>
      <c r="O39" s="7">
        <v>18</v>
      </c>
      <c r="P39" s="33" t="str">
        <f>O17</f>
        <v>HERRERA</v>
      </c>
    </row>
    <row r="40" spans="4:18" x14ac:dyDescent="0.3">
      <c r="D40" s="7">
        <v>19</v>
      </c>
      <c r="E40" s="27">
        <f>E12</f>
        <v>381083</v>
      </c>
      <c r="I40" s="7">
        <v>19</v>
      </c>
      <c r="J40" s="28">
        <f>I5</f>
        <v>309634</v>
      </c>
      <c r="O40" s="7">
        <v>19</v>
      </c>
      <c r="P40" s="16"/>
    </row>
    <row r="41" spans="4:18" x14ac:dyDescent="0.3">
      <c r="D41" s="7">
        <v>20</v>
      </c>
      <c r="E41" s="27">
        <f>E6</f>
        <v>113985</v>
      </c>
      <c r="I41" s="7">
        <v>20</v>
      </c>
      <c r="J41" s="28">
        <f>I4</f>
        <v>377267</v>
      </c>
      <c r="O41" s="7">
        <v>20</v>
      </c>
      <c r="P41" s="16"/>
    </row>
    <row r="42" spans="4:18" x14ac:dyDescent="0.3">
      <c r="D42" s="7">
        <v>21</v>
      </c>
      <c r="E42" s="27">
        <f>E4</f>
        <v>377267</v>
      </c>
      <c r="I42" s="7">
        <v>21</v>
      </c>
      <c r="J42" s="16"/>
      <c r="O42" s="7">
        <v>21</v>
      </c>
      <c r="P42" s="16"/>
    </row>
    <row r="43" spans="4:18" x14ac:dyDescent="0.3">
      <c r="D43" s="7">
        <v>22</v>
      </c>
      <c r="E43" s="13"/>
      <c r="I43" s="7">
        <v>22</v>
      </c>
      <c r="J43" s="16"/>
      <c r="O43" s="7">
        <v>22</v>
      </c>
      <c r="P43" s="16"/>
    </row>
    <row r="44" spans="4:18" x14ac:dyDescent="0.3">
      <c r="D44" s="7">
        <v>23</v>
      </c>
      <c r="E44" s="13"/>
      <c r="I44" s="7">
        <v>23</v>
      </c>
      <c r="J44" s="16"/>
      <c r="O44" s="7">
        <v>23</v>
      </c>
      <c r="P44" s="16"/>
    </row>
    <row r="46" spans="4:18" x14ac:dyDescent="0.3">
      <c r="D46" s="8" t="s">
        <v>30</v>
      </c>
      <c r="E46" s="8"/>
      <c r="F46" s="8"/>
      <c r="G46" s="39"/>
      <c r="I46" s="8" t="s">
        <v>31</v>
      </c>
      <c r="J46" s="8"/>
      <c r="K46" s="8"/>
      <c r="O46" s="9" t="s">
        <v>62</v>
      </c>
      <c r="P46" s="9"/>
      <c r="Q46" s="9"/>
    </row>
    <row r="47" spans="4:18" x14ac:dyDescent="0.3">
      <c r="E47" s="1" t="s">
        <v>26</v>
      </c>
      <c r="J47" t="s">
        <v>26</v>
      </c>
      <c r="O47" s="7">
        <v>0</v>
      </c>
      <c r="P47" s="33" t="str">
        <f>O12</f>
        <v>ZEPHANIAH</v>
      </c>
    </row>
    <row r="48" spans="4:18" x14ac:dyDescent="0.3">
      <c r="D48" s="7">
        <v>0</v>
      </c>
      <c r="E48" s="13"/>
      <c r="I48" s="7">
        <v>0</v>
      </c>
      <c r="J48" s="13"/>
      <c r="K48" s="7"/>
      <c r="O48" s="7">
        <v>1</v>
      </c>
      <c r="P48" s="16"/>
    </row>
    <row r="49" spans="4:17" x14ac:dyDescent="0.3">
      <c r="D49" s="7">
        <v>1</v>
      </c>
      <c r="E49" s="27">
        <f>E10</f>
        <v>378834</v>
      </c>
      <c r="I49" s="7">
        <v>1</v>
      </c>
      <c r="J49" s="13"/>
      <c r="K49" s="7"/>
      <c r="O49" s="7">
        <v>2</v>
      </c>
      <c r="P49" s="16"/>
    </row>
    <row r="50" spans="4:17" x14ac:dyDescent="0.3">
      <c r="D50" s="7">
        <v>2</v>
      </c>
      <c r="E50" s="13"/>
      <c r="I50" s="7">
        <v>2</v>
      </c>
      <c r="J50" s="32">
        <f>I9</f>
        <v>346184</v>
      </c>
      <c r="K50" s="7"/>
      <c r="O50" s="7">
        <v>3</v>
      </c>
      <c r="P50" s="16"/>
    </row>
    <row r="51" spans="4:17" x14ac:dyDescent="0.3">
      <c r="D51" s="7">
        <v>3</v>
      </c>
      <c r="E51" s="13"/>
      <c r="I51" s="7">
        <v>3</v>
      </c>
      <c r="J51" s="32">
        <f>I11</f>
        <v>457892</v>
      </c>
      <c r="K51" s="7"/>
      <c r="O51" s="7">
        <v>4</v>
      </c>
      <c r="P51" s="33" t="str">
        <f>O14</f>
        <v>ZECHARIAH</v>
      </c>
    </row>
    <row r="52" spans="4:17" x14ac:dyDescent="0.3">
      <c r="D52" s="7">
        <v>4</v>
      </c>
      <c r="E52" s="13"/>
      <c r="I52" s="7">
        <v>4</v>
      </c>
      <c r="J52" s="32">
        <f>I12</f>
        <v>381083</v>
      </c>
      <c r="K52" s="38" t="s">
        <v>27</v>
      </c>
      <c r="O52" s="7">
        <v>5</v>
      </c>
      <c r="P52" s="16"/>
    </row>
    <row r="53" spans="4:17" x14ac:dyDescent="0.3">
      <c r="D53" s="7">
        <v>5</v>
      </c>
      <c r="E53" s="13"/>
      <c r="I53" s="7">
        <v>5</v>
      </c>
      <c r="J53" s="32">
        <f>I8</f>
        <v>437494</v>
      </c>
      <c r="K53" s="7"/>
      <c r="O53" s="7">
        <v>6</v>
      </c>
      <c r="P53" s="33" t="str">
        <f>O6</f>
        <v>AMOS</v>
      </c>
    </row>
    <row r="54" spans="4:17" x14ac:dyDescent="0.3">
      <c r="D54" s="7">
        <v>6</v>
      </c>
      <c r="E54" s="27">
        <f>E14</f>
        <v>388591</v>
      </c>
      <c r="I54" s="7">
        <v>6</v>
      </c>
      <c r="J54" s="13"/>
      <c r="K54" s="7"/>
      <c r="O54" s="7">
        <v>7</v>
      </c>
      <c r="P54" s="33" t="str">
        <f>O5</f>
        <v>JOEL</v>
      </c>
    </row>
    <row r="55" spans="4:17" x14ac:dyDescent="0.3">
      <c r="D55" s="7">
        <v>7</v>
      </c>
      <c r="E55" s="13"/>
      <c r="I55" s="7">
        <v>7</v>
      </c>
      <c r="J55" s="13"/>
      <c r="K55" s="7"/>
      <c r="O55" s="7">
        <v>8</v>
      </c>
      <c r="P55" s="33" t="str">
        <f>O8</f>
        <v>JONAH</v>
      </c>
      <c r="Q55" s="38" t="s">
        <v>27</v>
      </c>
    </row>
    <row r="56" spans="4:17" x14ac:dyDescent="0.3">
      <c r="D56" s="7">
        <v>8</v>
      </c>
      <c r="E56" s="27">
        <f>E5</f>
        <v>309634</v>
      </c>
      <c r="I56" s="7">
        <v>8</v>
      </c>
      <c r="J56" s="32">
        <f>I7</f>
        <v>326638</v>
      </c>
      <c r="K56" s="7"/>
      <c r="O56" s="7">
        <v>9</v>
      </c>
      <c r="P56" s="33" t="str">
        <f>O10</f>
        <v>NAHUM</v>
      </c>
      <c r="Q56" s="38" t="s">
        <v>63</v>
      </c>
    </row>
    <row r="57" spans="4:17" x14ac:dyDescent="0.3">
      <c r="D57" s="7">
        <v>9</v>
      </c>
      <c r="E57" s="27">
        <f>E11</f>
        <v>457892</v>
      </c>
      <c r="F57" s="38" t="s">
        <v>27</v>
      </c>
      <c r="I57" s="7">
        <v>9</v>
      </c>
      <c r="J57" s="32">
        <f>I10</f>
        <v>378834</v>
      </c>
      <c r="K57" s="7"/>
      <c r="O57" s="7">
        <v>10</v>
      </c>
      <c r="P57" s="33" t="str">
        <f>O16</f>
        <v>ISABELLA</v>
      </c>
    </row>
    <row r="58" spans="4:17" x14ac:dyDescent="0.3">
      <c r="D58" s="7">
        <v>10</v>
      </c>
      <c r="E58" s="27">
        <f>E13</f>
        <v>303840</v>
      </c>
      <c r="I58" s="7">
        <v>10</v>
      </c>
      <c r="J58" s="32">
        <f>I13</f>
        <v>303840</v>
      </c>
      <c r="K58" s="38" t="s">
        <v>63</v>
      </c>
      <c r="O58" s="7">
        <v>11</v>
      </c>
      <c r="P58" s="16"/>
    </row>
    <row r="59" spans="4:17" x14ac:dyDescent="0.3">
      <c r="D59" s="7">
        <v>11</v>
      </c>
      <c r="E59" s="27">
        <f>E8</f>
        <v>437494</v>
      </c>
      <c r="I59" s="7">
        <v>11</v>
      </c>
      <c r="J59" s="32">
        <f>I6</f>
        <v>113985</v>
      </c>
      <c r="K59" s="7"/>
      <c r="O59" s="7">
        <v>12</v>
      </c>
      <c r="P59" s="16"/>
    </row>
    <row r="60" spans="4:17" x14ac:dyDescent="0.3">
      <c r="D60" s="7">
        <v>12</v>
      </c>
      <c r="E60" s="27">
        <f>E9</f>
        <v>346184</v>
      </c>
      <c r="F60" s="38" t="s">
        <v>27</v>
      </c>
      <c r="I60" s="7">
        <v>12</v>
      </c>
      <c r="J60" s="32">
        <f>I16</f>
        <v>340462</v>
      </c>
      <c r="K60" s="38" t="s">
        <v>64</v>
      </c>
      <c r="O60" s="7">
        <v>13</v>
      </c>
      <c r="P60" s="33" t="str">
        <f>O9</f>
        <v>MICAH</v>
      </c>
    </row>
    <row r="61" spans="4:17" x14ac:dyDescent="0.3">
      <c r="D61" s="7">
        <v>13</v>
      </c>
      <c r="E61" s="27">
        <f>E15</f>
        <v>244456</v>
      </c>
      <c r="F61" s="38" t="s">
        <v>27</v>
      </c>
      <c r="I61" s="7">
        <v>13</v>
      </c>
      <c r="J61" s="32">
        <f>I17</f>
        <v>264173</v>
      </c>
      <c r="K61" s="38" t="s">
        <v>65</v>
      </c>
      <c r="O61" s="7">
        <v>14</v>
      </c>
      <c r="P61" s="33" t="str">
        <f>O7</f>
        <v>OBADIAH</v>
      </c>
    </row>
    <row r="62" spans="4:17" x14ac:dyDescent="0.3">
      <c r="D62" s="7">
        <v>14</v>
      </c>
      <c r="E62" s="13"/>
      <c r="I62" s="7">
        <v>14</v>
      </c>
      <c r="J62" s="13"/>
      <c r="K62" s="7"/>
      <c r="O62" s="7">
        <v>15</v>
      </c>
      <c r="P62" s="33" t="str">
        <f>O11</f>
        <v>HABAKKUK</v>
      </c>
      <c r="Q62" s="38" t="s">
        <v>27</v>
      </c>
    </row>
    <row r="63" spans="4:17" x14ac:dyDescent="0.3">
      <c r="D63" s="7">
        <v>15</v>
      </c>
      <c r="E63" s="27">
        <f>E7</f>
        <v>326638</v>
      </c>
      <c r="I63" s="7">
        <v>15</v>
      </c>
      <c r="J63" s="32">
        <f>I14</f>
        <v>388591</v>
      </c>
      <c r="K63" s="7"/>
      <c r="O63" s="7">
        <v>16</v>
      </c>
      <c r="P63" s="33" t="str">
        <f>O4</f>
        <v>HOSEA</v>
      </c>
    </row>
    <row r="64" spans="4:17" x14ac:dyDescent="0.3">
      <c r="D64" s="7">
        <v>16</v>
      </c>
      <c r="E64" s="27">
        <f>E16</f>
        <v>340462</v>
      </c>
      <c r="I64" s="7">
        <v>16</v>
      </c>
      <c r="J64" s="13"/>
      <c r="K64" s="7"/>
      <c r="O64" s="7">
        <v>17</v>
      </c>
      <c r="P64" s="33" t="str">
        <f>O13</f>
        <v>HAGGAI</v>
      </c>
      <c r="Q64" s="38" t="s">
        <v>63</v>
      </c>
    </row>
    <row r="65" spans="4:17" x14ac:dyDescent="0.3">
      <c r="D65" s="7">
        <v>17</v>
      </c>
      <c r="E65" s="13"/>
      <c r="I65" s="7">
        <v>17</v>
      </c>
      <c r="J65" s="13"/>
      <c r="K65" s="7"/>
      <c r="O65" s="7">
        <v>18</v>
      </c>
      <c r="P65" s="33" t="str">
        <f>O15</f>
        <v>MALACHI</v>
      </c>
      <c r="Q65" s="38" t="s">
        <v>63</v>
      </c>
    </row>
    <row r="66" spans="4:17" x14ac:dyDescent="0.3">
      <c r="D66" s="7">
        <v>18</v>
      </c>
      <c r="E66" s="27">
        <f>E17</f>
        <v>264173</v>
      </c>
      <c r="I66" s="7">
        <v>18</v>
      </c>
      <c r="J66" s="32">
        <f>I15</f>
        <v>244456</v>
      </c>
      <c r="K66" s="7"/>
      <c r="O66" s="7">
        <v>19</v>
      </c>
      <c r="P66" s="33" t="str">
        <f>O17</f>
        <v>HERRERA</v>
      </c>
      <c r="Q66" s="38" t="s">
        <v>27</v>
      </c>
    </row>
    <row r="67" spans="4:17" x14ac:dyDescent="0.3">
      <c r="D67" s="7">
        <v>19</v>
      </c>
      <c r="E67" s="27">
        <f>E12</f>
        <v>381083</v>
      </c>
      <c r="I67" s="7">
        <v>19</v>
      </c>
      <c r="J67" s="32">
        <f>I5</f>
        <v>309634</v>
      </c>
      <c r="K67" s="7"/>
      <c r="O67" s="7">
        <v>20</v>
      </c>
      <c r="P67" s="16"/>
    </row>
    <row r="68" spans="4:17" x14ac:dyDescent="0.3">
      <c r="D68" s="7">
        <v>20</v>
      </c>
      <c r="E68" s="27">
        <f>E6</f>
        <v>113985</v>
      </c>
      <c r="I68" s="7">
        <v>20</v>
      </c>
      <c r="J68" s="32">
        <f>I4</f>
        <v>377267</v>
      </c>
      <c r="K68" s="7"/>
      <c r="O68" s="7">
        <v>21</v>
      </c>
      <c r="P68" s="16"/>
    </row>
    <row r="69" spans="4:17" x14ac:dyDescent="0.3">
      <c r="D69" s="7">
        <v>21</v>
      </c>
      <c r="E69" s="27">
        <f>E4</f>
        <v>377267</v>
      </c>
      <c r="I69" s="7">
        <v>21</v>
      </c>
      <c r="J69" s="13"/>
      <c r="K69" s="7"/>
      <c r="O69" s="7">
        <v>22</v>
      </c>
      <c r="P69" s="16"/>
    </row>
    <row r="70" spans="4:17" x14ac:dyDescent="0.3">
      <c r="D70" s="7">
        <v>22</v>
      </c>
      <c r="E70" s="13"/>
      <c r="I70" s="7">
        <v>22</v>
      </c>
      <c r="J70" s="13"/>
      <c r="K70" s="7"/>
      <c r="O70" s="7">
        <v>23</v>
      </c>
      <c r="P70" s="16"/>
    </row>
    <row r="71" spans="4:17" x14ac:dyDescent="0.3">
      <c r="D71" s="7">
        <v>23</v>
      </c>
      <c r="E71" s="13"/>
      <c r="I71" s="7">
        <v>23</v>
      </c>
      <c r="J71" s="13"/>
      <c r="K71" s="7"/>
    </row>
  </sheetData>
  <mergeCells count="9">
    <mergeCell ref="D19:F19"/>
    <mergeCell ref="I19:K19"/>
    <mergeCell ref="O19:Q19"/>
    <mergeCell ref="D46:F46"/>
    <mergeCell ref="I46:K46"/>
    <mergeCell ref="O46:Q46"/>
    <mergeCell ref="E2:F2"/>
    <mergeCell ref="O2:P2"/>
    <mergeCell ref="I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TALLER-TECNOLIDER</dc:creator>
  <cp:lastModifiedBy>isabella herrera</cp:lastModifiedBy>
  <dcterms:created xsi:type="dcterms:W3CDTF">2025-10-31T17:16:11Z</dcterms:created>
  <dcterms:modified xsi:type="dcterms:W3CDTF">2025-11-05T20:14:27Z</dcterms:modified>
</cp:coreProperties>
</file>